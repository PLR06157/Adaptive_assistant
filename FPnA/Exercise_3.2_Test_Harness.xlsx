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_Harness" sheetId="1" state="visible" r:id="rId1"/>
  </sheets>
  <definedNames>
    <definedName name="_xlnm._FilterDatabase" localSheetId="0" hidden="1">'Test_Harness'!$A$3:$H$18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0.0%"/>
    <numFmt numFmtId="166" formatCode="0.0000"/>
    <numFmt numFmtId="167" formatCode="yyyy-mm-dd h:mm:ss"/>
    <numFmt numFmtId="168" formatCode="#,##0.000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b val="1"/>
      <color rgb="00FFFFFF"/>
    </font>
    <font>
      <b val="1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EAF4E0"/>
      </patternFill>
    </fill>
    <fill>
      <patternFill patternType="solid">
        <fgColor rgb="00EDE7F6"/>
      </patternFill>
    </fill>
    <fill>
      <patternFill patternType="solid">
        <fgColor rgb="00FFF2CC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3" borderId="1" pivotButton="0" quotePrefix="0" xfId="0"/>
    <xf numFmtId="164" fontId="2" fillId="3" borderId="1" pivotButton="0" quotePrefix="0" xfId="0"/>
    <xf numFmtId="4" fontId="2" fillId="3" borderId="1" pivotButton="0" quotePrefix="0" xfId="0"/>
    <xf numFmtId="165" fontId="2" fillId="3" borderId="1" pivotButton="0" quotePrefix="0" xfId="0"/>
    <xf numFmtId="0" fontId="2" fillId="0" borderId="1" pivotButton="0" quotePrefix="0" xfId="0"/>
    <xf numFmtId="164" fontId="2" fillId="0" borderId="1" pivotButton="0" quotePrefix="0" xfId="0"/>
    <xf numFmtId="4" fontId="2" fillId="0" borderId="1" pivotButton="0" quotePrefix="0" xfId="0"/>
    <xf numFmtId="165" fontId="2" fillId="0" borderId="1" pivotButton="0" quotePrefix="0" xfId="0"/>
    <xf numFmtId="166" fontId="2" fillId="3" borderId="1" pivotButton="0" quotePrefix="0" xfId="0"/>
    <xf numFmtId="166" fontId="2" fillId="0" borderId="1" pivotButton="0" quotePrefix="0" xfId="0"/>
    <xf numFmtId="0" fontId="3" fillId="4" borderId="0" applyAlignment="1" pivotButton="0" quotePrefix="0" xfId="0">
      <alignment horizontal="center"/>
    </xf>
    <xf numFmtId="9" fontId="3" fillId="4" borderId="0" applyAlignment="1" pivotButton="0" quotePrefix="0" xfId="0">
      <alignment horizontal="center"/>
    </xf>
    <xf numFmtId="0" fontId="4" fillId="5" borderId="0" applyAlignment="1" pivotButton="0" quotePrefix="0" xfId="0">
      <alignment horizontal="center"/>
    </xf>
    <xf numFmtId="0" fontId="3" fillId="4" borderId="0" applyAlignment="1" pivotButton="0" quotePrefix="0" xfId="0">
      <alignment horizontal="center" wrapText="1"/>
    </xf>
    <xf numFmtId="0" fontId="3" fillId="4" borderId="0" pivotButton="0" quotePrefix="0" xfId="0"/>
    <xf numFmtId="0" fontId="4" fillId="6" borderId="2" applyAlignment="1" pivotButton="0" quotePrefix="0" xfId="0">
      <alignment vertical="center"/>
    </xf>
    <xf numFmtId="164" fontId="0" fillId="0" borderId="2" applyAlignment="1" pivotButton="0" quotePrefix="0" xfId="0">
      <alignment vertical="center"/>
    </xf>
    <xf numFmtId="4" fontId="0" fillId="0" borderId="2" applyAlignment="1" pivotButton="0" quotePrefix="0" xfId="0">
      <alignment vertical="center"/>
    </xf>
    <xf numFmtId="9" fontId="0" fillId="0" borderId="2" applyAlignment="1" pivotButton="0" quotePrefix="0" xfId="0">
      <alignment vertical="center"/>
    </xf>
    <xf numFmtId="0" fontId="0" fillId="0" borderId="2" applyAlignment="1" pivotButton="0" quotePrefix="0" xfId="0">
      <alignment vertical="center"/>
    </xf>
    <xf numFmtId="0" fontId="0" fillId="3" borderId="0" applyAlignment="1" pivotButton="0" quotePrefix="0" xfId="0">
      <alignment vertical="top" wrapText="1"/>
    </xf>
    <xf numFmtId="0" fontId="4" fillId="7" borderId="2" applyAlignment="1" pivotButton="0" quotePrefix="0" xfId="0">
      <alignment vertical="center"/>
    </xf>
    <xf numFmtId="168" fontId="0" fillId="0" borderId="2" applyAlignment="1" pivotButton="0" quotePrefix="0" xfId="0">
      <alignment vertical="center"/>
    </xf>
    <xf numFmtId="0" fontId="4" fillId="8" borderId="2" applyAlignment="1" pivotButton="0" quotePrefix="0" xfId="0">
      <alignment vertical="center"/>
    </xf>
  </cellXfs>
  <cellStyles count="1">
    <cellStyle name="Normal" xfId="0" builtinId="0" hidden="0"/>
  </cellStyles>
  <dxfs count="3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  <dxf>
      <fill>
        <patternFill patternType="solid">
          <fgColor rgb="00FFE69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Codex</author>
  </authors>
  <commentList>
    <comment ref="A1" authorId="0" shapeId="0">
      <text>
        <t>Dashboard recalculates when Excel opens or formulas are edited.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16" customWidth="1" min="4" max="4"/>
    <col width="14" customWidth="1" min="5" max="5"/>
    <col width="16" customWidth="1" min="6" max="6"/>
    <col width="16" customWidth="1" min="7" max="7"/>
    <col width="18" customWidth="1" min="8" max="8"/>
    <col width="88" customWidth="1" min="10" max="10"/>
  </cols>
  <sheetData>
    <row r="1" ht="22" customHeight="1">
      <c r="A1" s="12" t="inlineStr">
        <is>
          <t>Test Results</t>
        </is>
      </c>
      <c r="B1" s="12">
        <f>COUNTA(A4:A18)</f>
        <v/>
      </c>
      <c r="C1" s="12">
        <f>COUNTIF(H4:H18,"PASS")</f>
        <v/>
      </c>
      <c r="D1" s="12">
        <f>B1-C1</f>
        <v/>
      </c>
      <c r="E1" s="13">
        <f>IF(B1=0,0,C1/B1)</f>
        <v/>
      </c>
      <c r="F1" s="12">
        <f>IF(E1=1,"ALL CLEAR","REVIEW NEEDED")</f>
        <v/>
      </c>
    </row>
    <row r="2" ht="22" customHeight="1">
      <c r="A2" s="14" t="n"/>
      <c r="B2" s="14" t="inlineStr">
        <is>
          <t>Total tests</t>
        </is>
      </c>
      <c r="C2" s="14" t="inlineStr">
        <is>
          <t>Passed</t>
        </is>
      </c>
      <c r="D2" s="14" t="inlineStr">
        <is>
          <t>Failed</t>
        </is>
      </c>
      <c r="E2" s="14" t="inlineStr">
        <is>
          <t>Pass rate</t>
        </is>
      </c>
      <c r="F2" s="14" t="inlineStr">
        <is>
          <t>Status</t>
        </is>
      </c>
    </row>
    <row r="3" ht="22" customHeight="1">
      <c r="A3" s="15" t="inlineStr">
        <is>
          <t>Formula / Test ID</t>
        </is>
      </c>
      <c r="B3" s="15" t="inlineStr">
        <is>
          <t>Input 1</t>
        </is>
      </c>
      <c r="C3" s="15" t="inlineStr">
        <is>
          <t>Input 2</t>
        </is>
      </c>
      <c r="D3" s="15" t="inlineStr">
        <is>
          <t>Input 3</t>
        </is>
      </c>
      <c r="E3" s="15" t="inlineStr">
        <is>
          <t>Input 4</t>
        </is>
      </c>
      <c r="F3" s="15" t="inlineStr">
        <is>
          <t>Expected result</t>
        </is>
      </c>
      <c r="G3" s="15" t="inlineStr">
        <is>
          <t>Actual result</t>
        </is>
      </c>
      <c r="H3" s="15" t="inlineStr">
        <is>
          <t>Pass/Fail</t>
        </is>
      </c>
      <c r="J3" s="16" t="inlineStr">
        <is>
          <t>Formula Definitions</t>
        </is>
      </c>
    </row>
    <row r="4" ht="34" customHeight="1">
      <c r="A4" s="17" t="inlineStr">
        <is>
          <t>A-01 RevRec</t>
        </is>
      </c>
      <c r="B4" s="18" t="n">
        <v>45366</v>
      </c>
      <c r="C4" s="18" t="n">
        <v>45382</v>
      </c>
      <c r="D4" s="19" t="n">
        <v>50000</v>
      </c>
      <c r="E4" s="20" t="n">
        <v>0.8</v>
      </c>
      <c r="F4" s="19" t="n">
        <v>40000</v>
      </c>
      <c r="G4" s="19">
        <f>IF(B4&lt;=C4,D4*E4,0)</f>
        <v/>
      </c>
      <c r="H4" s="21">
        <f>IF(ISERROR(G4),"FAIL - ACTUAL ERROR "&amp;ERROR.TYPE(G4),IF(ISERROR(F4),"FAIL - EXPECTED ERROR "&amp;ERROR.TYPE(F4),IF(AND(ISNUMBER(F4),ISNUMBER(G4)),IF(ABS(F4-G4)&lt;0.01,"PASS","FAIL"),IF(AND(ISTEXT(F4),ISTEXT(G4)),IF(F4=G4,"PASS","FAIL"),"FAIL - TYPE MISMATCH"))))</f>
        <v/>
      </c>
      <c r="J4" s="22" t="inlineStr">
        <is>
          <t>A RevRec: if delivery date is on/before period end, recognize invoice amount x completion %, otherwise 0.</t>
        </is>
      </c>
    </row>
    <row r="5" ht="34" customHeight="1">
      <c r="A5" s="17" t="inlineStr">
        <is>
          <t>A-02 RevRec</t>
        </is>
      </c>
      <c r="B5" s="18" t="n">
        <v>45387</v>
      </c>
      <c r="C5" s="18" t="n">
        <v>45382</v>
      </c>
      <c r="D5" s="19" t="n">
        <v>50000</v>
      </c>
      <c r="E5" s="20" t="n">
        <v>0.8</v>
      </c>
      <c r="F5" s="19" t="n">
        <v>0</v>
      </c>
      <c r="G5" s="19">
        <f>IF(B5&lt;=C5,D5*E5,0)</f>
        <v/>
      </c>
      <c r="H5" s="21">
        <f>IF(ISERROR(G5),"FAIL - ACTUAL ERROR "&amp;ERROR.TYPE(G5),IF(ISERROR(F5),"FAIL - EXPECTED ERROR "&amp;ERROR.TYPE(F5),IF(AND(ISNUMBER(F5),ISNUMBER(G5)),IF(ABS(F5-G5)&lt;0.01,"PASS","FAIL"),IF(AND(ISTEXT(F5),ISTEXT(G5)),IF(F5=G5,"PASS","FAIL"),"FAIL - TYPE MISMATCH"))))</f>
        <v/>
      </c>
      <c r="J5" s="22" t="inlineStr">
        <is>
          <t>B FX: amount LC x (closing rate x 70% + average rate x 30%).</t>
        </is>
      </c>
    </row>
    <row r="6" ht="34" customHeight="1">
      <c r="A6" s="17" t="inlineStr">
        <is>
          <t>A-03 RevRec</t>
        </is>
      </c>
      <c r="B6" s="18" t="n">
        <v>45382</v>
      </c>
      <c r="C6" s="18" t="n">
        <v>45382</v>
      </c>
      <c r="D6" s="19" t="n">
        <v>75000</v>
      </c>
      <c r="E6" s="20" t="n">
        <v>1</v>
      </c>
      <c r="F6" s="19" t="n">
        <v>75000</v>
      </c>
      <c r="G6" s="19">
        <f>IF(B6&lt;=C6,D6*E6,0)</f>
        <v/>
      </c>
      <c r="H6" s="21">
        <f>IF(ISERROR(G6),"FAIL - ACTUAL ERROR "&amp;ERROR.TYPE(G6),IF(ISERROR(F6),"FAIL - EXPECTED ERROR "&amp;ERROR.TYPE(F6),IF(AND(ISNUMBER(F6),ISNUMBER(G6)),IF(ABS(F6-G6)&lt;0.01,"PASS","FAIL"),IF(AND(ISTEXT(F6),ISTEXT(G6)),IF(F6=G6,"PASS","FAIL"),"FAIL - TYPE MISMATCH"))))</f>
        <v/>
      </c>
      <c r="J6" s="22" t="inlineStr">
        <is>
          <t>C IC: if sender and receiver differ, eliminate by multiplying amount by -1; otherwise 0.</t>
        </is>
      </c>
    </row>
    <row r="7" ht="34" customHeight="1">
      <c r="A7" s="17" t="inlineStr">
        <is>
          <t>A-04 RevRec</t>
        </is>
      </c>
      <c r="B7" s="18" t="n">
        <v>45366</v>
      </c>
      <c r="C7" s="18" t="n">
        <v>45382</v>
      </c>
      <c r="D7" s="19" t="n">
        <v>0</v>
      </c>
      <c r="E7" s="20" t="n">
        <v>0.5</v>
      </c>
      <c r="F7" s="19" t="n">
        <v>0</v>
      </c>
      <c r="G7" s="19">
        <f>IF(B7&lt;=C7,D7*E7,0)</f>
        <v/>
      </c>
      <c r="H7" s="21">
        <f>IF(ISERROR(G7),"FAIL - ACTUAL ERROR "&amp;ERROR.TYPE(G7),IF(ISERROR(F7),"FAIL - EXPECTED ERROR "&amp;ERROR.TYPE(F7),IF(AND(ISNUMBER(F7),ISNUMBER(G7)),IF(ABS(F7-G7)&lt;0.01,"PASS","FAIL"),IF(AND(ISTEXT(F7),ISTEXT(G7)),IF(F7=G7,"PASS","FAIL"),"FAIL - TYPE MISMATCH"))))</f>
        <v/>
      </c>
      <c r="J7" s="22" t="inlineStr">
        <is>
          <t>Break test: swap 0.7 and 0.3 in one FX Actual formula and confirm the dashboard flags a failure, then restore it.</t>
        </is>
      </c>
    </row>
    <row r="8" ht="22" customHeight="1">
      <c r="A8" s="17" t="inlineStr">
        <is>
          <t>A-05 RevRec</t>
        </is>
      </c>
      <c r="B8" s="18" t="n">
        <v>45366</v>
      </c>
      <c r="C8" s="18" t="n">
        <v>45382</v>
      </c>
      <c r="D8" s="19" t="n">
        <v>100000</v>
      </c>
      <c r="E8" s="20" t="n">
        <v>0</v>
      </c>
      <c r="F8" s="19" t="n">
        <v>0</v>
      </c>
      <c r="G8" s="19">
        <f>IF(B8&lt;=C8,D8*E8,0)</f>
        <v/>
      </c>
      <c r="H8" s="21">
        <f>IF(ISERROR(G8),"FAIL - ACTUAL ERROR "&amp;ERROR.TYPE(G8),IF(ISERROR(F8),"FAIL - EXPECTED ERROR "&amp;ERROR.TYPE(F8),IF(AND(ISNUMBER(F8),ISNUMBER(G8)),IF(ABS(F8-G8)&lt;0.01,"PASS","FAIL"),IF(AND(ISTEXT(F8),ISTEXT(G8)),IF(F8=G8,"PASS","FAIL"),"FAIL - TYPE MISMATCH"))))</f>
        <v/>
      </c>
    </row>
    <row r="9" ht="22" customHeight="1">
      <c r="A9" s="23" t="inlineStr">
        <is>
          <t>B-01 FX</t>
        </is>
      </c>
      <c r="B9" s="24" t="n">
        <v>100000</v>
      </c>
      <c r="C9" s="24" t="n">
        <v>1.085</v>
      </c>
      <c r="D9" s="24" t="n">
        <v>1.092</v>
      </c>
      <c r="E9" s="21" t="n"/>
      <c r="F9" s="19" t="n">
        <v>108710</v>
      </c>
      <c r="G9" s="19">
        <f>B9*(C9*0.7+D9*0.3)</f>
        <v/>
      </c>
      <c r="H9" s="21">
        <f>IF(ISERROR(G9),"FAIL - ACTUAL ERROR "&amp;ERROR.TYPE(G9),IF(ISERROR(F9),"FAIL - EXPECTED ERROR "&amp;ERROR.TYPE(F9),IF(AND(ISNUMBER(F9),ISNUMBER(G9)),IF(ABS(F9-G9)&lt;0.01,"PASS","FAIL"),IF(AND(ISTEXT(F9),ISTEXT(G9)),IF(F9=G9,"PASS","FAIL"),"FAIL - TYPE MISMATCH"))))</f>
        <v/>
      </c>
    </row>
    <row r="10" ht="22" customHeight="1">
      <c r="A10" s="23" t="inlineStr">
        <is>
          <t>B-02 FX</t>
        </is>
      </c>
      <c r="B10" s="24" t="n">
        <v>0</v>
      </c>
      <c r="C10" s="24" t="n">
        <v>1.085</v>
      </c>
      <c r="D10" s="24" t="n">
        <v>1.092</v>
      </c>
      <c r="E10" s="21" t="n"/>
      <c r="F10" s="19" t="n">
        <v>0</v>
      </c>
      <c r="G10" s="19">
        <f>B10*(C10*0.7+D10*0.3)</f>
        <v/>
      </c>
      <c r="H10" s="21">
        <f>IF(ISERROR(G10),"FAIL - ACTUAL ERROR "&amp;ERROR.TYPE(G10),IF(ISERROR(F10),"FAIL - EXPECTED ERROR "&amp;ERROR.TYPE(F10),IF(AND(ISNUMBER(F10),ISNUMBER(G10)),IF(ABS(F10-G10)&lt;0.01,"PASS","FAIL"),IF(AND(ISTEXT(F10),ISTEXT(G10)),IF(F10=G10,"PASS","FAIL"),"FAIL - TYPE MISMATCH"))))</f>
        <v/>
      </c>
    </row>
    <row r="11" ht="22" customHeight="1">
      <c r="A11" s="23" t="inlineStr">
        <is>
          <t>B-03 FX</t>
        </is>
      </c>
      <c r="B11" s="24" t="n">
        <v>-50000</v>
      </c>
      <c r="C11" s="24" t="n">
        <v>1.085</v>
      </c>
      <c r="D11" s="24" t="n">
        <v>1.092</v>
      </c>
      <c r="E11" s="21" t="n"/>
      <c r="F11" s="19" t="n">
        <v>-54355</v>
      </c>
      <c r="G11" s="19">
        <f>B11*(C11*0.7+D11*0.3)</f>
        <v/>
      </c>
      <c r="H11" s="21">
        <f>IF(ISERROR(G11),"FAIL - ACTUAL ERROR "&amp;ERROR.TYPE(G11),IF(ISERROR(F11),"FAIL - EXPECTED ERROR "&amp;ERROR.TYPE(F11),IF(AND(ISNUMBER(F11),ISNUMBER(G11)),IF(ABS(F11-G11)&lt;0.01,"PASS","FAIL"),IF(AND(ISTEXT(F11),ISTEXT(G11)),IF(F11=G11,"PASS","FAIL"),"FAIL - TYPE MISMATCH"))))</f>
        <v/>
      </c>
    </row>
    <row r="12" ht="22" customHeight="1">
      <c r="A12" s="23" t="inlineStr">
        <is>
          <t>B-04 FX</t>
        </is>
      </c>
      <c r="B12" s="24" t="n">
        <v>250000</v>
      </c>
      <c r="C12" s="24" t="n">
        <v>1</v>
      </c>
      <c r="D12" s="24" t="n">
        <v>1</v>
      </c>
      <c r="E12" s="21" t="n"/>
      <c r="F12" s="19" t="n">
        <v>250000</v>
      </c>
      <c r="G12" s="19">
        <f>B12*(C12*0.7+D12*0.3)</f>
        <v/>
      </c>
      <c r="H12" s="21">
        <f>IF(ISERROR(G12),"FAIL - ACTUAL ERROR "&amp;ERROR.TYPE(G12),IF(ISERROR(F12),"FAIL - EXPECTED ERROR "&amp;ERROR.TYPE(F12),IF(AND(ISNUMBER(F12),ISNUMBER(G12)),IF(ABS(F12-G12)&lt;0.01,"PASS","FAIL"),IF(AND(ISTEXT(F12),ISTEXT(G12)),IF(F12=G12,"PASS","FAIL"),"FAIL - TYPE MISMATCH"))))</f>
        <v/>
      </c>
    </row>
    <row r="13" ht="22" customHeight="1">
      <c r="A13" s="23" t="inlineStr">
        <is>
          <t>B-05 FX</t>
        </is>
      </c>
      <c r="B13" s="24" t="n">
        <v>100000</v>
      </c>
      <c r="C13" s="24" t="n">
        <v>0</v>
      </c>
      <c r="D13" s="24" t="n">
        <v>1.092</v>
      </c>
      <c r="E13" s="21" t="n"/>
      <c r="F13" s="19" t="n">
        <v>32760</v>
      </c>
      <c r="G13" s="19">
        <f>B13*(C13*0.7+D13*0.3)</f>
        <v/>
      </c>
      <c r="H13" s="21">
        <f>IF(ISERROR(G13),"FAIL - ACTUAL ERROR "&amp;ERROR.TYPE(G13),IF(ISERROR(F13),"FAIL - EXPECTED ERROR "&amp;ERROR.TYPE(F13),IF(AND(ISNUMBER(F13),ISNUMBER(G13)),IF(ABS(F13-G13)&lt;0.01,"PASS","FAIL"),IF(AND(ISTEXT(F13),ISTEXT(G13)),IF(F13=G13,"PASS","FAIL"),"FAIL - TYPE MISMATCH"))))</f>
        <v/>
      </c>
    </row>
    <row r="14" ht="22" customHeight="1">
      <c r="A14" s="25" t="inlineStr">
        <is>
          <t>C-01 IC</t>
        </is>
      </c>
      <c r="B14" s="21" t="inlineStr">
        <is>
          <t>Entity_A</t>
        </is>
      </c>
      <c r="C14" s="21" t="inlineStr">
        <is>
          <t>Entity_B</t>
        </is>
      </c>
      <c r="D14" s="19" t="n">
        <v>75000</v>
      </c>
      <c r="E14" s="21" t="n"/>
      <c r="F14" s="19" t="n">
        <v>-75000</v>
      </c>
      <c r="G14" s="19">
        <f>IF(B14&lt;&gt;C14,-1*D14,0)</f>
        <v/>
      </c>
      <c r="H14" s="21">
        <f>IF(ISERROR(G14),"FAIL - ACTUAL ERROR "&amp;ERROR.TYPE(G14),IF(ISERROR(F14),"FAIL - EXPECTED ERROR "&amp;ERROR.TYPE(F14),IF(AND(ISNUMBER(F14),ISNUMBER(G14)),IF(ABS(F14-G14)&lt;0.01,"PASS","FAIL"),IF(AND(ISTEXT(F14),ISTEXT(G14)),IF(F14=G14,"PASS","FAIL"),"FAIL - TYPE MISMATCH"))))</f>
        <v/>
      </c>
    </row>
    <row r="15" ht="22" customHeight="1">
      <c r="A15" s="25" t="inlineStr">
        <is>
          <t>C-02 IC</t>
        </is>
      </c>
      <c r="B15" s="21" t="inlineStr">
        <is>
          <t>Entity_A</t>
        </is>
      </c>
      <c r="C15" s="21" t="inlineStr">
        <is>
          <t>Entity_A</t>
        </is>
      </c>
      <c r="D15" s="19" t="n">
        <v>75000</v>
      </c>
      <c r="E15" s="21" t="n"/>
      <c r="F15" s="19" t="n">
        <v>0</v>
      </c>
      <c r="G15" s="19">
        <f>IF(B15&lt;&gt;C15,-1*D15,0)</f>
        <v/>
      </c>
      <c r="H15" s="21">
        <f>IF(ISERROR(G15),"FAIL - ACTUAL ERROR "&amp;ERROR.TYPE(G15),IF(ISERROR(F15),"FAIL - EXPECTED ERROR "&amp;ERROR.TYPE(F15),IF(AND(ISNUMBER(F15),ISNUMBER(G15)),IF(ABS(F15-G15)&lt;0.01,"PASS","FAIL"),IF(AND(ISTEXT(F15),ISTEXT(G15)),IF(F15=G15,"PASS","FAIL"),"FAIL - TYPE MISMATCH"))))</f>
        <v/>
      </c>
    </row>
    <row r="16" ht="22" customHeight="1">
      <c r="A16" s="25" t="inlineStr">
        <is>
          <t>C-03 IC</t>
        </is>
      </c>
      <c r="B16" s="21" t="inlineStr">
        <is>
          <t>Entity_B</t>
        </is>
      </c>
      <c r="C16" s="21" t="inlineStr">
        <is>
          <t>Entity_A</t>
        </is>
      </c>
      <c r="D16" s="19" t="n">
        <v>-30000</v>
      </c>
      <c r="E16" s="21" t="n"/>
      <c r="F16" s="19" t="n">
        <v>30000</v>
      </c>
      <c r="G16" s="19">
        <f>IF(B16&lt;&gt;C16,-1*D16,0)</f>
        <v/>
      </c>
      <c r="H16" s="21">
        <f>IF(ISERROR(G16),"FAIL - ACTUAL ERROR "&amp;ERROR.TYPE(G16),IF(ISERROR(F16),"FAIL - EXPECTED ERROR "&amp;ERROR.TYPE(F16),IF(AND(ISNUMBER(F16),ISNUMBER(G16)),IF(ABS(F16-G16)&lt;0.01,"PASS","FAIL"),IF(AND(ISTEXT(F16),ISTEXT(G16)),IF(F16=G16,"PASS","FAIL"),"FAIL - TYPE MISMATCH"))))</f>
        <v/>
      </c>
    </row>
    <row r="17" ht="22" customHeight="1">
      <c r="A17" s="25" t="inlineStr">
        <is>
          <t>C-04 IC</t>
        </is>
      </c>
      <c r="B17" s="21" t="inlineStr">
        <is>
          <t>Entity_C</t>
        </is>
      </c>
      <c r="C17" s="21" t="inlineStr">
        <is>
          <t>Entity_D</t>
        </is>
      </c>
      <c r="D17" s="19" t="n">
        <v>0</v>
      </c>
      <c r="E17" s="21" t="n"/>
      <c r="F17" s="19" t="n">
        <v>0</v>
      </c>
      <c r="G17" s="19">
        <f>IF(B17&lt;&gt;C17,-1*D17,0)</f>
        <v/>
      </c>
      <c r="H17" s="21">
        <f>IF(ISERROR(G17),"FAIL - ACTUAL ERROR "&amp;ERROR.TYPE(G17),IF(ISERROR(F17),"FAIL - EXPECTED ERROR "&amp;ERROR.TYPE(F17),IF(AND(ISNUMBER(F17),ISNUMBER(G17)),IF(ABS(F17-G17)&lt;0.01,"PASS","FAIL"),IF(AND(ISTEXT(F17),ISTEXT(G17)),IF(F17=G17,"PASS","FAIL"),"FAIL - TYPE MISMATCH"))))</f>
        <v/>
      </c>
    </row>
    <row r="18" ht="22" customHeight="1">
      <c r="A18" s="25" t="inlineStr">
        <is>
          <t>C-05 IC</t>
        </is>
      </c>
      <c r="B18" s="21" t="inlineStr">
        <is>
          <t>Entity_A</t>
        </is>
      </c>
      <c r="C18" s="21" t="inlineStr">
        <is>
          <t>Entity_C</t>
        </is>
      </c>
      <c r="D18" s="19" t="n">
        <v>150000</v>
      </c>
      <c r="E18" s="21" t="n"/>
      <c r="F18" s="19" t="n">
        <v>-150000</v>
      </c>
      <c r="G18" s="19">
        <f>IF(B18&lt;&gt;C18,-1*D18,0)</f>
        <v/>
      </c>
      <c r="H18" s="21">
        <f>IF(ISERROR(G18),"FAIL - ACTUAL ERROR "&amp;ERROR.TYPE(G18),IF(ISERROR(F18),"FAIL - EXPECTED ERROR "&amp;ERROR.TYPE(F18),IF(AND(ISNUMBER(F18),ISNUMBER(G18)),IF(ABS(F18-G18)&lt;0.01,"PASS","FAIL"),IF(AND(ISTEXT(F18),ISTEXT(G18)),IF(F18=G18,"PASS","FAIL"),"FAIL - TYPE MISMATCH"))))</f>
        <v/>
      </c>
    </row>
  </sheetData>
  <autoFilter ref="A3:H18"/>
  <conditionalFormatting sqref="H4:H18">
    <cfRule type="cellIs" priority="1" operator="equal" dxfId="0">
      <formula>"PASS"</formula>
    </cfRule>
    <cfRule type="expression" priority="2" dxfId="1">
      <formula>LEFT(H4,4)="FAIL"</formula>
    </cfRule>
  </conditionalFormatting>
  <conditionalFormatting sqref="F1">
    <cfRule type="cellIs" priority="3" operator="equal" dxfId="0">
      <formula>"ALL CLEAR"</formula>
    </cfRule>
    <cfRule type="cellIs" priority="4" operator="equal" dxfId="2">
      <formula>"REVIEW NEEDED"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2026-04-25T09:00:52Z</dcterms:created>
  <dcterms:modified xmlns:dcterms="http://purl.org/dc/terms/" xmlns:xsi="http://www.w3.org/2001/XMLSchema-instance" xsi:type="dcterms:W3CDTF">2026-04-25T11:23:59Z</dcterms:modified>
</cp:coreProperties>
</file>