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_Data" sheetId="1" state="visible" r:id="rId1"/>
    <sheet xmlns:r="http://schemas.openxmlformats.org/officeDocument/2006/relationships" name="Forecast_Workspace" sheetId="2" state="visible" r:id="rId2"/>
    <sheet xmlns:r="http://schemas.openxmlformats.org/officeDocument/2006/relationships" name="Reference_Val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2">
    <font>
      <name val="Calibri"/>
      <family val="2"/>
      <color theme="1"/>
      <sz val="11"/>
      <scheme val="minor"/>
    </font>
    <font>
      <b val="1"/>
      <color rgb="00FFFFFF"/>
    </font>
    <font>
      <i val="1"/>
      <color rgb="00BF8F00"/>
      <sz val="9"/>
    </font>
    <font>
      <color rgb="00595959"/>
      <sz val="9"/>
    </font>
    <font>
      <i val="1"/>
    </font>
    <font>
      <i val="1"/>
      <color rgb="00595959"/>
    </font>
    <font>
      <b val="1"/>
      <color rgb="001F4E79"/>
      <sz val="12"/>
    </font>
    <font>
      <b val="1"/>
      <color rgb="002E75B6"/>
      <sz val="10"/>
    </font>
    <font>
      <b val="1"/>
    </font>
    <font>
      <i val="1"/>
      <color rgb="00595959"/>
      <sz val="9"/>
    </font>
    <font>
      <b val="1"/>
      <color rgb="00C00000"/>
    </font>
    <font>
      <i val="1"/>
      <color rgb="00C00000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medium">
        <color rgb="005B9BD5"/>
      </left>
      <right style="medium">
        <color rgb="005B9BD5"/>
      </right>
      <top style="medium">
        <color rgb="005B9BD5"/>
      </top>
      <bottom style="medium">
        <color rgb="005B9BD5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left" wrapText="1"/>
    </xf>
    <xf numFmtId="3" fontId="0" fillId="3" borderId="1" applyAlignment="1" pivotButton="0" quotePrefix="0" xfId="0">
      <alignment horizontal="left" wrapText="1"/>
    </xf>
    <xf numFmtId="0" fontId="0" fillId="4" borderId="1" applyAlignment="1" pivotButton="0" quotePrefix="0" xfId="0">
      <alignment horizontal="left" wrapText="1"/>
    </xf>
    <xf numFmtId="3" fontId="0" fillId="4" borderId="1" applyAlignment="1" pivotButton="0" quotePrefix="0" xfId="0">
      <alignment horizontal="left" wrapText="1"/>
    </xf>
    <xf numFmtId="0" fontId="0" fillId="5" borderId="1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0" fillId="3" borderId="1" applyAlignment="1" pivotButton="0" quotePrefix="0" xfId="0">
      <alignment horizontal="left"/>
    </xf>
    <xf numFmtId="0" fontId="0" fillId="3" borderId="1" applyAlignment="1" pivotButton="0" quotePrefix="0" xfId="0">
      <alignment horizontal="right"/>
    </xf>
    <xf numFmtId="0" fontId="3" fillId="3" borderId="1" applyAlignment="1" pivotButton="0" quotePrefix="0" xfId="0">
      <alignment horizontal="left" wrapText="1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right"/>
    </xf>
    <xf numFmtId="0" fontId="3" fillId="4" borderId="1" applyAlignment="1" pivotButton="0" quotePrefix="0" xfId="0">
      <alignment horizontal="left" wrapText="1"/>
    </xf>
    <xf numFmtId="0" fontId="0" fillId="4" borderId="1" applyAlignment="1" pivotButton="0" quotePrefix="0" xfId="0">
      <alignment horizontal="center"/>
    </xf>
    <xf numFmtId="0" fontId="4" fillId="6" borderId="1" applyAlignment="1" pivotButton="0" quotePrefix="0" xfId="0">
      <alignment horizontal="left"/>
    </xf>
    <xf numFmtId="3" fontId="5" fillId="6" borderId="1" applyAlignment="1" pivotButton="0" quotePrefix="0" xfId="0">
      <alignment horizontal="right"/>
    </xf>
    <xf numFmtId="0" fontId="3" fillId="6" borderId="1" applyAlignment="1" pivotButton="0" quotePrefix="0" xfId="0">
      <alignment horizontal="left" wrapText="1"/>
    </xf>
    <xf numFmtId="0" fontId="0" fillId="6" borderId="1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7" fillId="0" borderId="0" pivotButton="0" quotePrefix="0" xfId="0"/>
    <xf numFmtId="10" fontId="0" fillId="3" borderId="1" applyAlignment="1" pivotButton="0" quotePrefix="0" xfId="0">
      <alignment horizontal="left" wrapText="1"/>
    </xf>
    <xf numFmtId="10" fontId="0" fillId="4" borderId="1" applyAlignment="1" pivotButton="0" quotePrefix="0" xfId="0">
      <alignment horizontal="left" wrapText="1"/>
    </xf>
    <xf numFmtId="0" fontId="8" fillId="5" borderId="1" applyAlignment="1" pivotButton="0" quotePrefix="0" xfId="0">
      <alignment horizontal="left"/>
    </xf>
    <xf numFmtId="0" fontId="0" fillId="0" borderId="4" pivotButton="0" quotePrefix="0" xfId="0"/>
    <xf numFmtId="0" fontId="0" fillId="0" borderId="5" pivotButton="0" quotePrefix="0" xfId="0"/>
    <xf numFmtId="10" fontId="8" fillId="5" borderId="1" pivotButton="0" quotePrefix="0" xfId="0"/>
    <xf numFmtId="0" fontId="0" fillId="0" borderId="1" pivotButton="0" quotePrefix="0" xfId="0"/>
    <xf numFmtId="164" fontId="8" fillId="5" borderId="1" pivotButton="0" quotePrefix="0" xfId="0"/>
    <xf numFmtId="0" fontId="9" fillId="3" borderId="1" pivotButton="0" quotePrefix="0" xfId="0"/>
    <xf numFmtId="0" fontId="9" fillId="4" borderId="1" pivotButton="0" quotePrefix="0" xfId="0"/>
    <xf numFmtId="0" fontId="10" fillId="7" borderId="0" applyAlignment="1" pivotButton="0" quotePrefix="0" xfId="0">
      <alignment horizontal="left"/>
    </xf>
    <xf numFmtId="0" fontId="11" fillId="7" borderId="6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2" customWidth="1" min="3" max="3"/>
    <col width="64" customWidth="1" min="4" max="4"/>
  </cols>
  <sheetData>
    <row r="1">
      <c r="A1" s="1" t="inlineStr">
        <is>
          <t>Quarter</t>
        </is>
      </c>
      <c r="B1" s="1" t="inlineStr">
        <is>
          <t>Revenue_Current_Year</t>
        </is>
      </c>
      <c r="C1" s="1" t="inlineStr">
        <is>
          <t>Revenue_Prior_Year</t>
        </is>
      </c>
    </row>
    <row r="2">
      <c r="A2" s="2" t="inlineStr">
        <is>
          <t>Q1</t>
        </is>
      </c>
      <c r="B2" s="3" t="n">
        <v>3050000</v>
      </c>
      <c r="C2" s="3" t="n">
        <v>2800000</v>
      </c>
    </row>
    <row r="3">
      <c r="A3" s="4" t="inlineStr">
        <is>
          <t>Q2</t>
        </is>
      </c>
      <c r="B3" s="5" t="n">
        <v>3380000</v>
      </c>
      <c r="C3" s="5" t="n">
        <v>3100000</v>
      </c>
    </row>
    <row r="4">
      <c r="A4" s="2" t="inlineStr">
        <is>
          <t>Q3</t>
        </is>
      </c>
      <c r="B4" s="3" t="n">
        <v>3850000</v>
      </c>
      <c r="C4" s="3" t="n">
        <v>3500000</v>
      </c>
    </row>
    <row r="5">
      <c r="A5" s="4" t="inlineStr">
        <is>
          <t>Q4</t>
        </is>
      </c>
      <c r="B5" s="6" t="n"/>
      <c r="C5" s="5" t="n">
        <v>4200000</v>
      </c>
      <c r="D5" s="7" t="inlineStr">
        <is>
          <t>← FORECAST TARGET: leave blank; your Formula 3 will produce Q4 Forecast in Forecast_Workspace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70" customWidth="1" min="3" max="3"/>
    <col width="18" customWidth="1" min="4" max="4"/>
  </cols>
  <sheetData>
    <row r="1" ht="28" customHeight="1">
      <c r="A1" s="1" t="inlineStr">
        <is>
          <t>Metric</t>
        </is>
      </c>
      <c r="B1" s="1" t="inlineStr">
        <is>
          <t>Your Formula Result</t>
        </is>
      </c>
      <c r="C1" s="1" t="inlineStr">
        <is>
          <t>Formula Hint (what to build)</t>
        </is>
      </c>
      <c r="D1" s="1" t="inlineStr">
        <is>
          <t>Step 1 Formula #</t>
        </is>
      </c>
    </row>
    <row r="2" ht="22" customHeight="1">
      <c r="A2" s="8" t="inlineStr">
        <is>
          <t>Weighted Avg Growth Rate</t>
        </is>
      </c>
      <c r="B2" s="9" t="n"/>
      <c r="C2" s="10">
        <f>0.20*(Revenue_Data!B2/Revenue_Data!C2-1)+0.30*(Revenue_Data!B3/Revenue_Data!C3-1)+0.50*(Revenue_Data!B4/Revenue_Data!C4-1)</f>
        <v/>
      </c>
      <c r="D2" s="11" t="inlineStr">
        <is>
          <t>Formula 1</t>
        </is>
      </c>
    </row>
    <row r="3" ht="22" customHeight="1">
      <c r="A3" s="12" t="inlineStr">
        <is>
          <t>Seasonal Adjustment Factor – Q4</t>
        </is>
      </c>
      <c r="B3" s="13" t="n"/>
      <c r="C3" s="14">
        <f>Revenue_Data!C5/AVERAGE(Revenue_Data!C2:Revenue_Data!C5)</f>
        <v/>
      </c>
      <c r="D3" s="15" t="inlineStr">
        <is>
          <t>Formula 2</t>
        </is>
      </c>
    </row>
    <row r="4" ht="22" customHeight="1">
      <c r="A4" s="8" t="inlineStr">
        <is>
          <t>Q4 Forecast</t>
        </is>
      </c>
      <c r="B4" s="9" t="n"/>
      <c r="C4" s="10">
        <f>Revenue_Data!B4*(1+B2)*B3   [Q3 Actual × (1+Weighted Growth) × Seasonal Factor]</f>
        <v/>
      </c>
      <c r="D4" s="11" t="inlineStr">
        <is>
          <t>Formula 3</t>
        </is>
      </c>
    </row>
    <row r="5" ht="22" customHeight="1">
      <c r="A5" s="12" t="inlineStr">
        <is>
          <t>Confidence Interval – Low  (−10%)</t>
        </is>
      </c>
      <c r="B5" s="13" t="n"/>
      <c r="C5" s="14">
        <f>B4*0.90</f>
        <v/>
      </c>
      <c r="D5" s="15" t="inlineStr">
        <is>
          <t>Formula 4</t>
        </is>
      </c>
    </row>
    <row r="6" ht="22" customHeight="1">
      <c r="A6" s="8" t="inlineStr">
        <is>
          <t>Confidence Interval – High (+10%)</t>
        </is>
      </c>
      <c r="B6" s="9" t="n"/>
      <c r="C6" s="10">
        <f>B4*1.10</f>
        <v/>
      </c>
      <c r="D6" s="11" t="inlineStr">
        <is>
          <t>Formula 4</t>
        </is>
      </c>
    </row>
    <row r="7" ht="22" customHeight="1">
      <c r="A7" s="12" t="inlineStr">
        <is>
          <t>YTD Actual (Q1–Q3)</t>
        </is>
      </c>
      <c r="B7" s="13" t="n"/>
      <c r="C7" s="14">
        <f>SUM(Revenue_Data!B2:Revenue_Data!B4)</f>
        <v/>
      </c>
      <c r="D7" s="15" t="inlineStr">
        <is>
          <t>Formula 5 input</t>
        </is>
      </c>
    </row>
    <row r="8" ht="22" customHeight="1">
      <c r="A8" s="16" t="inlineStr">
        <is>
          <t>YTD Prior Year (Q1–Q3)  [given – do not change]</t>
        </is>
      </c>
      <c r="B8" s="17" t="n">
        <v>9400000</v>
      </c>
      <c r="C8" s="18">
        <f>SUM(Revenue_Data!C2:Revenue_Data!C4) = 9,400,000  (pre-filled for you)</f>
        <v/>
      </c>
      <c r="D8" s="19" t="inlineStr">
        <is>
          <t>Formula 5 input</t>
        </is>
      </c>
    </row>
    <row r="9" ht="22" customHeight="1">
      <c r="A9" s="12" t="inlineStr">
        <is>
          <t>YTD Variance vs Prior Year %</t>
        </is>
      </c>
      <c r="B9" s="13" t="n"/>
      <c r="C9" s="14">
        <f>IF(B8=0,"N/A – no base period",B7/B8-1)</f>
        <v/>
      </c>
      <c r="D9" s="15" t="inlineStr">
        <is>
          <t>Formula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14" customWidth="1" min="3" max="3"/>
    <col width="50" customWidth="1" min="4" max="4"/>
  </cols>
  <sheetData>
    <row r="1">
      <c r="A1" s="20" t="inlineStr">
        <is>
          <t>Reference Values – Manual Verification (use in Step 3 to cross-check your formulas)</t>
        </is>
      </c>
    </row>
    <row r="2">
      <c r="A2" s="21" t="inlineStr">
        <is>
          <t>Formula 1 – Quarter Growth Rates</t>
        </is>
      </c>
    </row>
    <row r="3">
      <c r="A3" s="1" t="inlineStr">
        <is>
          <t>Quarter</t>
        </is>
      </c>
      <c r="B3" s="1" t="inlineStr">
        <is>
          <t>Current Year Revenue</t>
        </is>
      </c>
      <c r="C3" s="1" t="inlineStr">
        <is>
          <t>Prior Year Revenue</t>
        </is>
      </c>
      <c r="D3" s="1" t="inlineStr">
        <is>
          <t>YoY Growth Rate</t>
        </is>
      </c>
    </row>
    <row r="4">
      <c r="A4" s="2" t="inlineStr">
        <is>
          <t>Q1</t>
        </is>
      </c>
      <c r="B4" s="3" t="n">
        <v>3050000</v>
      </c>
      <c r="C4" s="3" t="n">
        <v>2800000</v>
      </c>
      <c r="D4" s="22" t="n">
        <v>0.08928571428571419</v>
      </c>
    </row>
    <row r="5">
      <c r="A5" s="4" t="inlineStr">
        <is>
          <t>Q2</t>
        </is>
      </c>
      <c r="B5" s="5" t="n">
        <v>3380000</v>
      </c>
      <c r="C5" s="5" t="n">
        <v>3100000</v>
      </c>
      <c r="D5" s="23" t="n">
        <v>0.0903225806451613</v>
      </c>
    </row>
    <row r="6">
      <c r="A6" s="2" t="inlineStr">
        <is>
          <t>Q3</t>
        </is>
      </c>
      <c r="B6" s="3" t="n">
        <v>3850000</v>
      </c>
      <c r="C6" s="3" t="n">
        <v>3500000</v>
      </c>
      <c r="D6" s="22" t="n">
        <v>0.1000000000000001</v>
      </c>
    </row>
    <row r="7">
      <c r="A7" s="24" t="inlineStr">
        <is>
          <t>Weighted Avg Growth Rate  (Q1×20% + Q2×30% + Q3×50%)</t>
        </is>
      </c>
      <c r="B7" s="25" t="n"/>
      <c r="C7" s="26" t="n"/>
      <c r="D7" s="27" t="n">
        <v>0.09495391705069127</v>
      </c>
    </row>
    <row r="9">
      <c r="A9" s="21" t="inlineStr">
        <is>
          <t>Formula 2 – Seasonal Factor Calculation</t>
        </is>
      </c>
    </row>
    <row r="10">
      <c r="A10" s="2" t="inlineStr">
        <is>
          <t>Prior Year Q1</t>
        </is>
      </c>
      <c r="B10" s="3" t="n">
        <v>2800000</v>
      </c>
      <c r="C10" s="28" t="n"/>
      <c r="D10" s="28" t="n"/>
    </row>
    <row r="11">
      <c r="A11" s="4" t="inlineStr">
        <is>
          <t>Prior Year Q2</t>
        </is>
      </c>
      <c r="B11" s="5" t="n">
        <v>3100000</v>
      </c>
      <c r="C11" s="28" t="n"/>
      <c r="D11" s="28" t="n"/>
    </row>
    <row r="12">
      <c r="A12" s="2" t="inlineStr">
        <is>
          <t>Prior Year Q3</t>
        </is>
      </c>
      <c r="B12" s="3" t="n">
        <v>3500000</v>
      </c>
      <c r="C12" s="28" t="n"/>
      <c r="D12" s="28" t="n"/>
    </row>
    <row r="13">
      <c r="A13" s="4" t="inlineStr">
        <is>
          <t>Prior Year Q4</t>
        </is>
      </c>
      <c r="B13" s="5" t="n">
        <v>4200000</v>
      </c>
      <c r="C13" s="28" t="n"/>
      <c r="D13" s="28" t="n"/>
    </row>
    <row r="14">
      <c r="A14" s="2" t="inlineStr">
        <is>
          <t>Prior Year Quarterly Average</t>
        </is>
      </c>
      <c r="B14" s="3" t="n">
        <v>3400000</v>
      </c>
      <c r="C14" s="28" t="n"/>
      <c r="D14" s="28" t="n"/>
    </row>
    <row r="15">
      <c r="A15" s="24" t="inlineStr">
        <is>
          <t>Q4 Seasonal Factor  (4,200,000 ÷ 3,400,000)</t>
        </is>
      </c>
      <c r="B15" s="25" t="n"/>
      <c r="C15" s="26" t="n"/>
      <c r="D15" s="29" t="n">
        <v>1.235294117647059</v>
      </c>
    </row>
    <row r="17">
      <c r="A17" s="21" t="inlineStr">
        <is>
          <t>Formula 5 – YTD Variance Verification</t>
        </is>
      </c>
    </row>
    <row r="18">
      <c r="A18" s="2" t="inlineStr">
        <is>
          <t>YTD Actual (Q1+Q2+Q3)</t>
        </is>
      </c>
      <c r="B18" s="3" t="n">
        <v>10280000</v>
      </c>
      <c r="C18" s="28" t="n"/>
      <c r="D18" s="30" t="inlineStr"/>
    </row>
    <row r="19">
      <c r="A19" s="4" t="inlineStr">
        <is>
          <t>YTD Prior Year (Q1+Q2+Q3)</t>
        </is>
      </c>
      <c r="B19" s="5" t="n">
        <v>9400000</v>
      </c>
      <c r="C19" s="28" t="n"/>
      <c r="D19" s="31" t="inlineStr"/>
    </row>
    <row r="20">
      <c r="A20" s="2" t="inlineStr">
        <is>
          <t>YTD Variance vs Prior Year %</t>
        </is>
      </c>
      <c r="B20" s="22" t="n">
        <v>0.09361702127659566</v>
      </c>
      <c r="C20" s="28" t="n"/>
      <c r="D20" s="30" t="inlineStr">
        <is>
          <t>← your Formula 5 should return this value</t>
        </is>
      </c>
    </row>
    <row r="22">
      <c r="A22" s="32" t="inlineStr">
        <is>
          <t>Reasonableness Check – Formula 3 (Q4 Forecast)</t>
        </is>
      </c>
    </row>
    <row r="23" ht="56" customHeight="1">
      <c r="A23" s="33" t="inlineStr">
        <is>
          <t>Your Formula 3 will produce approximately €5,207,000. Compare this to Q4 Prior Year (€4,200,000) — that implies +24% year-over-year growth. This is technically correct given the formula inputs, but a 24% jump is unusually high. In Step 3, raise this as your Cross-Check: a formula can be logically correct and still produce a surprising result. This is exactly what the acceptance checklist is designed to catch.</t>
        </is>
      </c>
    </row>
  </sheetData>
  <mergeCells count="8">
    <mergeCell ref="A1:D1"/>
    <mergeCell ref="A17:D17"/>
    <mergeCell ref="A9:D9"/>
    <mergeCell ref="A23:D23"/>
    <mergeCell ref="A22:D22"/>
    <mergeCell ref="A2:D2"/>
    <mergeCell ref="A15:C15"/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2026-04-25T11:15:40Z</dcterms:created>
  <dcterms:modified xmlns:dcterms="http://purl.org/dc/terms/" xmlns:xsi="http://www.w3.org/2001/XMLSchema-instance" xsi:type="dcterms:W3CDTF">2026-04-25T11:15:40Z</dcterms:modified>
</cp:coreProperties>
</file>