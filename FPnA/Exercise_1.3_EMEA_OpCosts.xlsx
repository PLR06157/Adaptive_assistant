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EA_OpCosts" sheetId="1" state="visible" r:id="rId3"/>
  </sheets>
  <definedNames>
    <definedName function="false" hidden="true" localSheetId="0" name="_xlnm._FilterDatabase" vbProcedure="false">EMEA_OpCosts!$A$1:$I$26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<sst xmlns="http://schemas.openxmlformats.org/spreadsheetml/2006/main" count="60" uniqueCount="45">
  <si>
    <t xml:space="preserve">Cost_Line</t>
  </si>
  <si>
    <t xml:space="preserve">Category</t>
  </si>
  <si>
    <t xml:space="preserve">Jan_Actual</t>
  </si>
  <si>
    <t xml:space="preserve">Feb_Actual</t>
  </si>
  <si>
    <t xml:space="preserve">Budget_Feb</t>
  </si>
  <si>
    <t xml:space="preserve">Variance_MoM</t>
  </si>
  <si>
    <t xml:space="preserve">Variance_MoM_%</t>
  </si>
  <si>
    <t xml:space="preserve">Variance_vs_Budget</t>
  </si>
  <si>
    <t xml:space="preserve">Variance_vs_Budget_%</t>
  </si>
  <si>
    <t xml:space="preserve">Salaries &amp; Wages</t>
  </si>
  <si>
    <t xml:space="preserve">Personnel</t>
  </si>
  <si>
    <t xml:space="preserve">Social Security Contributions</t>
  </si>
  <si>
    <t xml:space="preserve">Temporary Staff</t>
  </si>
  <si>
    <t xml:space="preserve">IT Infrastructure</t>
  </si>
  <si>
    <t xml:space="preserve">Technology</t>
  </si>
  <si>
    <t xml:space="preserve">Software Licenses</t>
  </si>
  <si>
    <t xml:space="preserve">Cloud Services</t>
  </si>
  <si>
    <t xml:space="preserve">Travel - Domestic</t>
  </si>
  <si>
    <t xml:space="preserve">T&amp;E</t>
  </si>
  <si>
    <t xml:space="preserve">Travel - International</t>
  </si>
  <si>
    <t xml:space="preserve">Entertainment &amp; Events</t>
  </si>
  <si>
    <t xml:space="preserve">Office Rent</t>
  </si>
  <si>
    <t xml:space="preserve">Facilities</t>
  </si>
  <si>
    <t xml:space="preserve">Utilities</t>
  </si>
  <si>
    <t xml:space="preserve">Office Supplies</t>
  </si>
  <si>
    <t xml:space="preserve">Professional Services - Audit</t>
  </si>
  <si>
    <t xml:space="preserve">External</t>
  </si>
  <si>
    <t xml:space="preserve">Professional Services - Legal</t>
  </si>
  <si>
    <t xml:space="preserve">Professional Services - Consulting</t>
  </si>
  <si>
    <t xml:space="preserve">Training &amp; Development</t>
  </si>
  <si>
    <t xml:space="preserve">People Dev</t>
  </si>
  <si>
    <t xml:space="preserve">Recruitment Costs</t>
  </si>
  <si>
    <t xml:space="preserve">Depreciation - Equipment</t>
  </si>
  <si>
    <t xml:space="preserve">Non-cash</t>
  </si>
  <si>
    <t xml:space="preserve">Depreciation - Leasehold</t>
  </si>
  <si>
    <t xml:space="preserve">Insurance</t>
  </si>
  <si>
    <t xml:space="preserve">Risk</t>
  </si>
  <si>
    <t xml:space="preserve">Telecommunications</t>
  </si>
  <si>
    <t xml:space="preserve">Postage &amp; Courier</t>
  </si>
  <si>
    <t xml:space="preserve">Operations</t>
  </si>
  <si>
    <t xml:space="preserve">Subscriptions &amp; Memberships</t>
  </si>
  <si>
    <t xml:space="preserve">Bank Charges</t>
  </si>
  <si>
    <t xml:space="preserve">Finance</t>
  </si>
  <si>
    <t xml:space="preserve">FX Gains/Losses</t>
  </si>
  <si>
    <t xml:space="preserve">TOTAL EMEA OPERATING COSTS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</si>
</sst>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5E8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5E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2" t="n">
        <v>1850000</v>
      </c>
      <c r="D2" s="2" t="n">
        <v>2183000</v>
      </c>
      <c r="E2" s="2" t="n">
        <v>1901245</v>
      </c>
      <c r="F2" s="2" t="n">
        <v>333000</v>
      </c>
      <c r="G2" s="0" t="n">
        <v>18</v>
      </c>
      <c r="H2" s="2" t="n">
        <v>281755</v>
      </c>
      <c r="I2" s="0" t="n">
        <v>14.8</v>
      </c>
    </row>
    <row r="3" customFormat="false" ht="15" hidden="false" customHeight="false" outlineLevel="0" collapsed="false">
      <c r="A3" s="0" t="s">
        <v>11</v>
      </c>
      <c r="B3" s="0" t="s">
        <v>10</v>
      </c>
      <c r="C3" s="2" t="n">
        <v>520000</v>
      </c>
      <c r="D3" s="2" t="n">
        <v>598000</v>
      </c>
      <c r="E3" s="2" t="n">
        <v>517302</v>
      </c>
      <c r="F3" s="2" t="n">
        <v>78000</v>
      </c>
      <c r="G3" s="0" t="n">
        <v>15</v>
      </c>
      <c r="H3" s="2" t="n">
        <v>80698</v>
      </c>
      <c r="I3" s="0" t="n">
        <v>15.6</v>
      </c>
    </row>
    <row r="4" customFormat="false" ht="15" hidden="false" customHeight="false" outlineLevel="0" collapsed="false">
      <c r="A4" s="0" t="s">
        <v>12</v>
      </c>
      <c r="B4" s="0" t="s">
        <v>10</v>
      </c>
      <c r="C4" s="2" t="n">
        <v>180000</v>
      </c>
      <c r="D4" s="2" t="n">
        <v>243000</v>
      </c>
      <c r="E4" s="2" t="n">
        <v>171034</v>
      </c>
      <c r="F4" s="2" t="n">
        <v>63000</v>
      </c>
      <c r="G4" s="0" t="n">
        <v>35</v>
      </c>
      <c r="H4" s="2" t="n">
        <v>71966</v>
      </c>
      <c r="I4" s="0" t="n">
        <v>42.1</v>
      </c>
    </row>
    <row r="5" customFormat="false" ht="15" hidden="false" customHeight="false" outlineLevel="0" collapsed="false">
      <c r="A5" s="0" t="s">
        <v>13</v>
      </c>
      <c r="B5" s="0" t="s">
        <v>14</v>
      </c>
      <c r="C5" s="2" t="n">
        <v>410000</v>
      </c>
      <c r="D5" s="2" t="n">
        <v>594500</v>
      </c>
      <c r="E5" s="2" t="n">
        <v>407965</v>
      </c>
      <c r="F5" s="2" t="n">
        <v>184500</v>
      </c>
      <c r="G5" s="0" t="n">
        <v>45</v>
      </c>
      <c r="H5" s="2" t="n">
        <v>186535</v>
      </c>
      <c r="I5" s="0" t="n">
        <v>45.7</v>
      </c>
    </row>
    <row r="6" customFormat="false" ht="15" hidden="false" customHeight="false" outlineLevel="0" collapsed="false">
      <c r="A6" s="0" t="s">
        <v>15</v>
      </c>
      <c r="B6" s="0" t="s">
        <v>14</v>
      </c>
      <c r="C6" s="2" t="n">
        <v>285000</v>
      </c>
      <c r="D6" s="2" t="n">
        <v>307800</v>
      </c>
      <c r="E6" s="2" t="n">
        <v>301248</v>
      </c>
      <c r="F6" s="2" t="n">
        <v>22800</v>
      </c>
      <c r="G6" s="0" t="n">
        <v>8</v>
      </c>
      <c r="H6" s="2" t="n">
        <v>6552</v>
      </c>
      <c r="I6" s="0" t="n">
        <v>2.2</v>
      </c>
    </row>
    <row r="7" customFormat="false" ht="15" hidden="false" customHeight="false" outlineLevel="0" collapsed="false">
      <c r="A7" s="0" t="s">
        <v>16</v>
      </c>
      <c r="B7" s="0" t="s">
        <v>14</v>
      </c>
      <c r="C7" s="2" t="n">
        <v>195000</v>
      </c>
      <c r="D7" s="2" t="n">
        <v>237900</v>
      </c>
      <c r="E7" s="2" t="n">
        <v>195984</v>
      </c>
      <c r="F7" s="2" t="n">
        <v>42900</v>
      </c>
      <c r="G7" s="0" t="n">
        <v>22</v>
      </c>
      <c r="H7" s="2" t="n">
        <v>41916</v>
      </c>
      <c r="I7" s="0" t="n">
        <v>21.4</v>
      </c>
    </row>
    <row r="8" customFormat="false" ht="15" hidden="false" customHeight="false" outlineLevel="0" collapsed="false">
      <c r="A8" s="0" t="s">
        <v>17</v>
      </c>
      <c r="B8" s="0" t="s">
        <v>18</v>
      </c>
      <c r="C8" s="2" t="n">
        <v>95000</v>
      </c>
      <c r="D8" s="2" t="n">
        <v>147250</v>
      </c>
      <c r="E8" s="2" t="n">
        <v>97410</v>
      </c>
      <c r="F8" s="2" t="n">
        <v>52250</v>
      </c>
      <c r="G8" s="0" t="n">
        <v>55</v>
      </c>
      <c r="H8" s="2" t="n">
        <v>49840</v>
      </c>
      <c r="I8" s="0" t="n">
        <v>51.2</v>
      </c>
    </row>
    <row r="9" customFormat="false" ht="15" hidden="false" customHeight="false" outlineLevel="0" collapsed="false">
      <c r="A9" s="0" t="s">
        <v>19</v>
      </c>
      <c r="B9" s="0" t="s">
        <v>18</v>
      </c>
      <c r="C9" s="2" t="n">
        <v>68000</v>
      </c>
      <c r="D9" s="2" t="n">
        <v>116960</v>
      </c>
      <c r="E9" s="2" t="n">
        <v>66029</v>
      </c>
      <c r="F9" s="2" t="n">
        <v>48960</v>
      </c>
      <c r="G9" s="0" t="n">
        <v>72</v>
      </c>
      <c r="H9" s="2" t="n">
        <v>50931</v>
      </c>
      <c r="I9" s="0" t="n">
        <v>77.1</v>
      </c>
    </row>
    <row r="10" customFormat="false" ht="15" hidden="false" customHeight="false" outlineLevel="0" collapsed="false">
      <c r="A10" s="0" t="s">
        <v>20</v>
      </c>
      <c r="B10" s="0" t="s">
        <v>18</v>
      </c>
      <c r="C10" s="2" t="n">
        <v>42000</v>
      </c>
      <c r="D10" s="2" t="n">
        <v>62160</v>
      </c>
      <c r="E10" s="2" t="n">
        <v>42235</v>
      </c>
      <c r="F10" s="2" t="n">
        <v>20160</v>
      </c>
      <c r="G10" s="0" t="n">
        <v>48</v>
      </c>
      <c r="H10" s="2" t="n">
        <v>19925</v>
      </c>
      <c r="I10" s="0" t="n">
        <v>47.2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2" t="n">
        <v>320000</v>
      </c>
      <c r="D11" s="2" t="n">
        <v>320000</v>
      </c>
      <c r="E11" s="2" t="n">
        <v>319317</v>
      </c>
      <c r="F11" s="2" t="n">
        <v>0</v>
      </c>
      <c r="G11" s="0" t="n">
        <v>0</v>
      </c>
      <c r="H11" s="2" t="n">
        <v>683</v>
      </c>
      <c r="I11" s="0" t="n">
        <v>0.2</v>
      </c>
    </row>
    <row r="12" customFormat="false" ht="15" hidden="false" customHeight="false" outlineLevel="0" collapsed="false">
      <c r="A12" s="0" t="s">
        <v>23</v>
      </c>
      <c r="B12" s="0" t="s">
        <v>22</v>
      </c>
      <c r="C12" s="2" t="n">
        <v>45000</v>
      </c>
      <c r="D12" s="2" t="n">
        <v>50400</v>
      </c>
      <c r="E12" s="2" t="n">
        <v>43560</v>
      </c>
      <c r="F12" s="2" t="n">
        <v>5400</v>
      </c>
      <c r="G12" s="0" t="n">
        <v>12</v>
      </c>
      <c r="H12" s="2" t="n">
        <v>6840</v>
      </c>
      <c r="I12" s="0" t="n">
        <v>15.7</v>
      </c>
    </row>
    <row r="13" customFormat="false" ht="15" hidden="false" customHeight="false" outlineLevel="0" collapsed="false">
      <c r="A13" s="0" t="s">
        <v>24</v>
      </c>
      <c r="B13" s="0" t="s">
        <v>22</v>
      </c>
      <c r="C13" s="2" t="n">
        <v>28000</v>
      </c>
      <c r="D13" s="2" t="n">
        <v>23800</v>
      </c>
      <c r="E13" s="2" t="n">
        <v>27496</v>
      </c>
      <c r="F13" s="2" t="n">
        <v>-4200</v>
      </c>
      <c r="G13" s="0" t="n">
        <v>-15</v>
      </c>
      <c r="H13" s="2" t="n">
        <v>-3696</v>
      </c>
      <c r="I13" s="0" t="n">
        <v>-13.4</v>
      </c>
    </row>
    <row r="14" customFormat="false" ht="15" hidden="false" customHeight="false" outlineLevel="0" collapsed="false">
      <c r="A14" s="0" t="s">
        <v>25</v>
      </c>
      <c r="B14" s="0" t="s">
        <v>26</v>
      </c>
      <c r="C14" s="2" t="n">
        <v>150000</v>
      </c>
      <c r="D14" s="2" t="n">
        <v>157500</v>
      </c>
      <c r="E14" s="2" t="n">
        <v>144339</v>
      </c>
      <c r="F14" s="2" t="n">
        <v>7500</v>
      </c>
      <c r="G14" s="0" t="n">
        <v>5</v>
      </c>
      <c r="H14" s="2" t="n">
        <v>13161</v>
      </c>
      <c r="I14" s="0" t="n">
        <v>9.1</v>
      </c>
    </row>
    <row r="15" customFormat="false" ht="15" hidden="false" customHeight="false" outlineLevel="0" collapsed="false">
      <c r="A15" s="0" t="s">
        <v>27</v>
      </c>
      <c r="B15" s="0" t="s">
        <v>26</v>
      </c>
      <c r="C15" s="2" t="n">
        <v>85000</v>
      </c>
      <c r="D15" s="2" t="n">
        <v>110500</v>
      </c>
      <c r="E15" s="2" t="n">
        <v>90348</v>
      </c>
      <c r="F15" s="2" t="n">
        <v>25500</v>
      </c>
      <c r="G15" s="0" t="n">
        <v>30</v>
      </c>
      <c r="H15" s="2" t="n">
        <v>20152</v>
      </c>
      <c r="I15" s="0" t="n">
        <v>22.3</v>
      </c>
    </row>
    <row r="16" customFormat="false" ht="15" hidden="false" customHeight="false" outlineLevel="0" collapsed="false">
      <c r="A16" s="0" t="s">
        <v>28</v>
      </c>
      <c r="B16" s="0" t="s">
        <v>26</v>
      </c>
      <c r="C16" s="2" t="n">
        <v>220000</v>
      </c>
      <c r="D16" s="2" t="n">
        <v>198000</v>
      </c>
      <c r="E16" s="2" t="n">
        <v>223380</v>
      </c>
      <c r="F16" s="2" t="n">
        <v>-22000</v>
      </c>
      <c r="G16" s="0" t="n">
        <v>-10</v>
      </c>
      <c r="H16" s="2" t="n">
        <v>-25380</v>
      </c>
      <c r="I16" s="0" t="n">
        <v>-11.4</v>
      </c>
    </row>
    <row r="17" customFormat="false" ht="15" hidden="false" customHeight="false" outlineLevel="0" collapsed="false">
      <c r="A17" s="0" t="s">
        <v>29</v>
      </c>
      <c r="B17" s="0" t="s">
        <v>30</v>
      </c>
      <c r="C17" s="2" t="n">
        <v>75000</v>
      </c>
      <c r="D17" s="2" t="n">
        <v>105000</v>
      </c>
      <c r="E17" s="2" t="n">
        <v>76273</v>
      </c>
      <c r="F17" s="2" t="n">
        <v>30000</v>
      </c>
      <c r="G17" s="0" t="n">
        <v>40</v>
      </c>
      <c r="H17" s="2" t="n">
        <v>28727</v>
      </c>
      <c r="I17" s="0" t="n">
        <v>37.7</v>
      </c>
    </row>
    <row r="18" customFormat="false" ht="15" hidden="false" customHeight="false" outlineLevel="0" collapsed="false">
      <c r="A18" s="0" t="s">
        <v>31</v>
      </c>
      <c r="B18" s="0" t="s">
        <v>30</v>
      </c>
      <c r="C18" s="2" t="n">
        <v>110000</v>
      </c>
      <c r="D18" s="2" t="n">
        <v>137500</v>
      </c>
      <c r="E18" s="2" t="n">
        <v>115540</v>
      </c>
      <c r="F18" s="2" t="n">
        <v>27500</v>
      </c>
      <c r="G18" s="0" t="n">
        <v>25</v>
      </c>
      <c r="H18" s="2" t="n">
        <v>21960</v>
      </c>
      <c r="I18" s="0" t="n">
        <v>19</v>
      </c>
    </row>
    <row r="19" customFormat="false" ht="15" hidden="false" customHeight="false" outlineLevel="0" collapsed="false">
      <c r="A19" s="0" t="s">
        <v>32</v>
      </c>
      <c r="B19" s="0" t="s">
        <v>33</v>
      </c>
      <c r="C19" s="2" t="n">
        <v>165000</v>
      </c>
      <c r="D19" s="2" t="n">
        <v>168300</v>
      </c>
      <c r="E19" s="2" t="n">
        <v>171557</v>
      </c>
      <c r="F19" s="2" t="n">
        <v>3300</v>
      </c>
      <c r="G19" s="0" t="n">
        <v>2</v>
      </c>
      <c r="H19" s="2" t="n">
        <v>-3257</v>
      </c>
      <c r="I19" s="0" t="n">
        <v>-1.9</v>
      </c>
    </row>
    <row r="20" customFormat="false" ht="15" hidden="false" customHeight="false" outlineLevel="0" collapsed="false">
      <c r="A20" s="0" t="s">
        <v>34</v>
      </c>
      <c r="B20" s="0" t="s">
        <v>33</v>
      </c>
      <c r="C20" s="2" t="n">
        <v>98000</v>
      </c>
      <c r="D20" s="2" t="n">
        <v>98000</v>
      </c>
      <c r="E20" s="2" t="n">
        <v>96881</v>
      </c>
      <c r="F20" s="2" t="n">
        <v>0</v>
      </c>
      <c r="G20" s="0" t="n">
        <v>0</v>
      </c>
      <c r="H20" s="2" t="n">
        <v>1119</v>
      </c>
      <c r="I20" s="0" t="n">
        <v>1.2</v>
      </c>
    </row>
    <row r="21" customFormat="false" ht="15" hidden="false" customHeight="false" outlineLevel="0" collapsed="false">
      <c r="A21" s="0" t="s">
        <v>35</v>
      </c>
      <c r="B21" s="0" t="s">
        <v>36</v>
      </c>
      <c r="C21" s="2" t="n">
        <v>55000</v>
      </c>
      <c r="D21" s="2" t="n">
        <v>56650</v>
      </c>
      <c r="E21" s="2" t="n">
        <v>58587</v>
      </c>
      <c r="F21" s="2" t="n">
        <v>1650</v>
      </c>
      <c r="G21" s="0" t="n">
        <v>3</v>
      </c>
      <c r="H21" s="2" t="n">
        <v>-1937</v>
      </c>
      <c r="I21" s="0" t="n">
        <v>-3.3</v>
      </c>
    </row>
    <row r="22" customFormat="false" ht="15" hidden="false" customHeight="false" outlineLevel="0" collapsed="false">
      <c r="A22" s="0" t="s">
        <v>37</v>
      </c>
      <c r="B22" s="0" t="s">
        <v>14</v>
      </c>
      <c r="C22" s="2" t="n">
        <v>62000</v>
      </c>
      <c r="D22" s="2" t="n">
        <v>57040</v>
      </c>
      <c r="E22" s="2" t="n">
        <v>63387</v>
      </c>
      <c r="F22" s="2" t="n">
        <v>-4960</v>
      </c>
      <c r="G22" s="0" t="n">
        <v>-8</v>
      </c>
      <c r="H22" s="2" t="n">
        <v>-6347</v>
      </c>
      <c r="I22" s="0" t="n">
        <v>-10</v>
      </c>
    </row>
    <row r="23" customFormat="false" ht="15" hidden="false" customHeight="false" outlineLevel="0" collapsed="false">
      <c r="A23" s="0" t="s">
        <v>38</v>
      </c>
      <c r="B23" s="0" t="s">
        <v>39</v>
      </c>
      <c r="C23" s="2" t="n">
        <v>12000</v>
      </c>
      <c r="D23" s="2" t="n">
        <v>13200</v>
      </c>
      <c r="E23" s="2" t="n">
        <v>12892</v>
      </c>
      <c r="F23" s="2" t="n">
        <v>1200</v>
      </c>
      <c r="G23" s="0" t="n">
        <v>10</v>
      </c>
      <c r="H23" s="2" t="n">
        <v>308</v>
      </c>
      <c r="I23" s="0" t="n">
        <v>2.4</v>
      </c>
    </row>
    <row r="24" customFormat="false" ht="15" hidden="false" customHeight="false" outlineLevel="0" collapsed="false">
      <c r="A24" s="0" t="s">
        <v>40</v>
      </c>
      <c r="B24" s="0" t="s">
        <v>39</v>
      </c>
      <c r="C24" s="2" t="n">
        <v>35000</v>
      </c>
      <c r="D24" s="2" t="n">
        <v>40250</v>
      </c>
      <c r="E24" s="2" t="n">
        <v>34499</v>
      </c>
      <c r="F24" s="2" t="n">
        <v>5250</v>
      </c>
      <c r="G24" s="0" t="n">
        <v>15</v>
      </c>
      <c r="H24" s="2" t="n">
        <v>5751</v>
      </c>
      <c r="I24" s="0" t="n">
        <v>16.7</v>
      </c>
    </row>
    <row r="25" customFormat="false" ht="15" hidden="false" customHeight="false" outlineLevel="0" collapsed="false">
      <c r="A25" s="0" t="s">
        <v>41</v>
      </c>
      <c r="B25" s="0" t="s">
        <v>42</v>
      </c>
      <c r="C25" s="2" t="n">
        <v>18000</v>
      </c>
      <c r="D25" s="2" t="n">
        <v>18900</v>
      </c>
      <c r="E25" s="2" t="n">
        <v>17919</v>
      </c>
      <c r="F25" s="2" t="n">
        <v>900</v>
      </c>
      <c r="G25" s="0" t="n">
        <v>5</v>
      </c>
      <c r="H25" s="2" t="n">
        <v>981</v>
      </c>
      <c r="I25" s="0" t="n">
        <v>5.5</v>
      </c>
    </row>
    <row r="26" customFormat="false" ht="15" hidden="false" customHeight="false" outlineLevel="0" collapsed="false">
      <c r="A26" s="0" t="s">
        <v>43</v>
      </c>
      <c r="B26" s="0" t="s">
        <v>42</v>
      </c>
      <c r="C26" s="2" t="n">
        <v>-25000</v>
      </c>
      <c r="D26" s="2" t="n">
        <v>-10000</v>
      </c>
      <c r="E26" s="2" t="n">
        <v>-23965</v>
      </c>
      <c r="F26" s="2" t="n">
        <v>15000</v>
      </c>
      <c r="G26" s="0" t="n">
        <v>-60</v>
      </c>
      <c r="H26" s="2" t="n">
        <v>13965</v>
      </c>
      <c r="I26" s="0" t="n">
        <v>-58.3</v>
      </c>
    </row>
    <row r="27" customFormat="false" ht="15" hidden="false" customHeight="false" outlineLevel="0" collapsed="false">
      <c r="A27" s="3" t="s">
        <v>44</v>
      </c>
      <c r="C27" s="4" t="n">
        <f aca="false">SUM(C2:C26)</f>
        <v>5098000</v>
      </c>
      <c r="D27" s="4" t="n">
        <f aca="false">SUM(D2:D26)</f>
        <v>6035610</v>
      </c>
      <c r="E27" s="4" t="n">
        <f aca="false">SUM(E2:E26)</f>
        <v>5172462</v>
      </c>
      <c r="F27" s="4" t="n">
        <f aca="false">SUM(F2:F26)</f>
        <v>937610</v>
      </c>
      <c r="G27" s="3" t="n">
        <f aca="false">IF(C27=0,0,ROUND((D27-C27)/C27*100,1))</f>
        <v>18.4</v>
      </c>
      <c r="H27" s="4" t="n">
        <f aca="false">SUM(H2:H26)</f>
        <v>863148</v>
      </c>
      <c r="I27" s="3" t="n">
        <f aca="false">IF(E27=0,0,ROUND((D27-E27)/E27*100,1))</f>
        <v>16.7</v>
      </c>
    </row>
  </sheetData>
  <autoFilter ref="A1:I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2026-04-25T09:03:54Z</dcterms:created>
  <dc:creator>openpyxl</dc:creator>
  <dc:description/>
  <dc:language>en-US</dc:language>
  <cp:lastModifiedBy/>
  <dcterms:modified xsi:type="dcterms:W3CDTF">2026-04-25T09:03:54Z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